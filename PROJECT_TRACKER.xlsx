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ilestones" sheetId="2" state="visible" r:id="rId2"/>
    <sheet name="Architecture" sheetId="3" state="visible" r:id="rId3"/>
    <sheet name="Verified Findings" sheetId="4" state="visible" r:id="rId4"/>
    <sheet name="Environment" sheetId="5" state="visible" r:id="rId5"/>
    <sheet name="Decisions" sheetId="6" state="visible" r:id="rId6"/>
    <sheet name="Risks &amp; Ques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1F3864"/>
      <sz val="16"/>
    </font>
    <font>
      <name val="Arial"/>
      <color rgb="00595959"/>
      <sz val="11"/>
    </font>
    <font>
      <name val="Arial"/>
      <b val="1"/>
      <color rgb="001F3864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3" fillId="3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164" fontId="4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5" fillId="0" borderId="0" pivotButton="0" quotePrefix="0" xfId="0"/>
    <xf numFmtId="0" fontId="4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Cross-Platform BI Migration Assistant</t>
        </is>
      </c>
    </row>
    <row r="2">
      <c r="A2" s="2" t="inlineStr">
        <is>
          <t>Power BI (.pbix)  -&gt;  Tableau (.twb)   |   build tracker</t>
        </is>
      </c>
    </row>
    <row r="4">
      <c r="A4" s="3" t="inlineStr">
        <is>
          <t>Status</t>
        </is>
      </c>
      <c r="B4" s="4" t="inlineStr">
        <is>
          <t>Build complete - 141 tests pass; both generated workbooks open in Tableau Desktop 2026.2; web UI + run_app.bat</t>
        </is>
      </c>
    </row>
    <row r="5">
      <c r="A5" s="3" t="inlineStr">
        <is>
          <t>Phase 1</t>
        </is>
      </c>
      <c r="B5" s="4" t="inlineStr">
        <is>
          <t>Retail Analysis: extract -&gt; analyse -&gt; convert. 16/16 data visuals migratable; 14 sheets, 3 dashboards</t>
        </is>
      </c>
    </row>
    <row r="6">
      <c r="A6" s="3" t="inlineStr">
        <is>
          <t>Phase 2</t>
        </is>
      </c>
      <c r="B6" s="4" t="inlineStr">
        <is>
          <t>Regional Sales stress test: 937 containers -&gt; 55 data visuals; 47 sheets, 9 dashboards</t>
        </is>
      </c>
    </row>
    <row r="7">
      <c r="A7" s="3" t="inlineStr">
        <is>
          <t>Phase 3</t>
        </is>
      </c>
      <c r="B7" s="4" t="inlineStr">
        <is>
          <t>Model layer: 15 measures with full DAX read from Desktop's engine; 4 translated, 11 refused with reasons</t>
        </is>
      </c>
    </row>
    <row r="8">
      <c r="A8" s="3" t="inlineStr">
        <is>
          <t>Run</t>
        </is>
      </c>
      <c r="B8" s="4" t="inlineStr">
        <is>
          <t>python -m src.cli "input/Retail Analysis Sample PBIX.pbix"</t>
        </is>
      </c>
    </row>
    <row r="9">
      <c r="A9" s="3" t="inlineStr">
        <is>
          <t>Extra files needed</t>
        </is>
      </c>
      <c r="B9" s="4" t="inlineStr">
        <is>
          <t>None - .pbix alone is sufficient (D1)</t>
        </is>
      </c>
    </row>
    <row r="11">
      <c r="A11" s="5" t="inlineStr">
        <is>
          <t>Milestone progress</t>
        </is>
      </c>
    </row>
    <row r="12">
      <c r="A12" s="4" t="inlineStr">
        <is>
          <t>Done</t>
        </is>
      </c>
      <c r="B12" s="6">
        <f>COUNTIF(Milestones!$G$4:$G$16,"Done")</f>
        <v/>
      </c>
    </row>
    <row r="13">
      <c r="A13" s="4" t="inlineStr">
        <is>
          <t>In Progress</t>
        </is>
      </c>
      <c r="B13" s="7">
        <f>COUNTIF(Milestones!$G$4:$G$16,"In Progress")</f>
        <v/>
      </c>
    </row>
    <row r="14">
      <c r="A14" s="4" t="inlineStr">
        <is>
          <t>Not Started</t>
        </is>
      </c>
      <c r="B14" s="8">
        <f>COUNTIF(Milestones!$G$4:$G$16,"Not Started")</f>
        <v/>
      </c>
    </row>
    <row r="15">
      <c r="A15" s="4" t="inlineStr">
        <is>
          <t>Blocked</t>
        </is>
      </c>
      <c r="B15" s="9">
        <f>COUNTIF(Milestones!$G$4:$G$16,"Blocked")</f>
        <v/>
      </c>
    </row>
    <row r="16">
      <c r="A16" s="3" t="inlineStr">
        <is>
          <t>Total</t>
        </is>
      </c>
      <c r="B16" s="3">
        <f>COUNTA(Milestones!$A$4:$A$16)</f>
        <v/>
      </c>
    </row>
    <row r="17">
      <c r="A17" s="3" t="inlineStr">
        <is>
          <t>% complete</t>
        </is>
      </c>
      <c r="B17" s="10">
        <f>IF($B$16=0,0,COUNTIF(Milestones!$G$4:$G$16,"Done")/$B$16)</f>
        <v/>
      </c>
    </row>
    <row r="19">
      <c r="A19" s="5" t="inlineStr">
        <is>
          <t>How to use this workbook</t>
        </is>
      </c>
    </row>
    <row r="20">
      <c r="A20" s="4" t="inlineStr">
        <is>
          <t>Milestones        - the build plan with a Verification column; Status is a dropdown that rolls up here.</t>
        </is>
      </c>
    </row>
    <row r="21">
      <c r="A21" s="4" t="inlineStr">
        <is>
          <t>Architecture      - which component owns what, and what it deliberately does NOT own.</t>
        </is>
      </c>
    </row>
    <row r="22">
      <c r="A22" s="4" t="inlineStr">
        <is>
          <t>Verified Findings - every format fact, tagged VERIFIED / DOCUMENTED / ASSUMPTION, with evidence.</t>
        </is>
      </c>
    </row>
    <row r="23">
      <c r="A23" s="4" t="inlineStr">
        <is>
          <t>Environment       - machine facts: versions, paths, file hashes.</t>
        </is>
      </c>
    </row>
    <row r="24">
      <c r="A24" s="4" t="inlineStr">
        <is>
          <t>Decisions         - what we chose, why, and what we rejected.</t>
        </is>
      </c>
    </row>
    <row r="25">
      <c r="A25" s="4" t="inlineStr">
        <is>
          <t>Risks &amp; Questions - resolved items kept for the record; open items are future 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8" customWidth="1" min="3" max="3"/>
    <col width="52" customWidth="1" min="4" max="4"/>
    <col width="22" customWidth="1" min="5" max="5"/>
    <col width="11" customWidth="1" min="6" max="6"/>
    <col width="13" customWidth="1" min="7" max="7"/>
    <col width="58" customWidth="1" min="8" max="8"/>
    <col width="32" customWidth="1" min="9" max="9"/>
  </cols>
  <sheetData>
    <row r="1">
      <c r="A1" s="11" t="inlineStr">
        <is>
          <t>Build Milestones  -  Power BI to Tableau Migration Assistant</t>
        </is>
      </c>
    </row>
    <row r="3" ht="28" customHeight="1">
      <c r="A3" s="12" t="inlineStr">
        <is>
          <t>ID</t>
        </is>
      </c>
      <c r="B3" s="12" t="inlineStr">
        <is>
          <t>Phase</t>
        </is>
      </c>
      <c r="C3" s="12" t="inlineStr">
        <is>
          <t>Step</t>
        </is>
      </c>
      <c r="D3" s="12" t="inlineStr">
        <is>
          <t>Description</t>
        </is>
      </c>
      <c r="E3" s="12" t="inlineStr">
        <is>
          <t>Component</t>
        </is>
      </c>
      <c r="F3" s="12" t="inlineStr">
        <is>
          <t>Depends on</t>
        </is>
      </c>
      <c r="G3" s="12" t="inlineStr">
        <is>
          <t>Status</t>
        </is>
      </c>
      <c r="H3" s="12" t="inlineStr">
        <is>
          <t>Verification (how we proved it works)</t>
        </is>
      </c>
      <c r="I3" s="12" t="inlineStr">
        <is>
          <t>Notes</t>
        </is>
      </c>
    </row>
    <row r="4">
      <c r="A4" s="13" t="inlineStr">
        <is>
          <t>M0</t>
        </is>
      </c>
      <c r="B4" s="13" t="inlineStr">
        <is>
          <t>Phase 0 - Investigation</t>
        </is>
      </c>
      <c r="C4" s="13" t="inlineStr">
        <is>
          <t>Format discovery</t>
        </is>
      </c>
      <c r="D4" s="14" t="inlineStr">
        <is>
          <t>Prove what .pbix contains; no invented behaviour.</t>
        </is>
      </c>
      <c r="E4" s="13" t="inlineStr">
        <is>
          <t>Parser (research)</t>
        </is>
      </c>
      <c r="F4" s="13" t="inlineStr">
        <is>
          <t>-</t>
        </is>
      </c>
      <c r="G4" s="15" t="inlineStr">
        <is>
          <t>Done</t>
        </is>
      </c>
      <c r="H4" s="14" t="inlineStr">
        <is>
          <t>15 assumption tests pass; first run caught 2 wrong assumptions</t>
        </is>
      </c>
      <c r="I4" s="14" t="inlineStr"/>
    </row>
    <row r="5">
      <c r="A5" s="13" t="inlineStr">
        <is>
          <t>M0.1</t>
        </is>
      </c>
      <c r="B5" s="13" t="inlineStr">
        <is>
          <t>Phase 0 - Investigation</t>
        </is>
      </c>
      <c r="C5" s="13" t="inlineStr">
        <is>
          <t>Environment survey</t>
        </is>
      </c>
      <c r="D5" s="14" t="inlineStr">
        <is>
          <t>Power BI Desktop, Tableau Desktop, live AS instance, Superstore reference.</t>
        </is>
      </c>
      <c r="E5" s="13" t="inlineStr">
        <is>
          <t>-</t>
        </is>
      </c>
      <c r="F5" s="13" t="inlineStr">
        <is>
          <t>M0</t>
        </is>
      </c>
      <c r="G5" s="15" t="inlineStr">
        <is>
          <t>Done</t>
        </is>
      </c>
      <c r="H5" s="14" t="inlineStr">
        <is>
          <t>Versions, ports, paths on Environment sheet</t>
        </is>
      </c>
      <c r="I5" s="14" t="inlineStr"/>
    </row>
    <row r="6">
      <c r="A6" s="13" t="inlineStr">
        <is>
          <t>M1</t>
        </is>
      </c>
      <c r="B6" s="13" t="inlineStr">
        <is>
          <t>Phase 1 - Retail Analysis</t>
        </is>
      </c>
      <c r="C6" s="13" t="inlineStr">
        <is>
          <t>Extract: PbixReader</t>
        </is>
      </c>
      <c r="D6" s="14" t="inlineStr">
        <is>
          <t>Open .pbix zip, decode Report/Layout (UTF-16LE), expose parts tolerantly.</t>
        </is>
      </c>
      <c r="E6" s="13" t="inlineStr">
        <is>
          <t>Parser</t>
        </is>
      </c>
      <c r="F6" s="13" t="inlineStr">
        <is>
          <t>M0</t>
        </is>
      </c>
      <c r="G6" s="15" t="inlineStr">
        <is>
          <t>Done</t>
        </is>
      </c>
      <c r="H6" s="14" t="inlineStr">
        <is>
          <t>11 tests: both files &amp; vintages, error paths</t>
        </is>
      </c>
      <c r="I6" s="14" t="inlineStr">
        <is>
          <t>src/parsers/pbix_reader.py</t>
        </is>
      </c>
    </row>
    <row r="7">
      <c r="A7" s="13" t="inlineStr">
        <is>
          <t>M2</t>
        </is>
      </c>
      <c r="B7" s="13" t="inlineStr">
        <is>
          <t>Phase 1 - Retail Analysis</t>
        </is>
      </c>
      <c r="C7" s="13" t="inlineStr">
        <is>
          <t>Extract: Canonical model (IR)</t>
        </is>
      </c>
      <c r="D7" s="14" t="inlineStr">
        <is>
          <t>Vendor-neutral Report / Page / Visual / FieldRef / Filter / DataModel.</t>
        </is>
      </c>
      <c r="E7" s="13" t="inlineStr">
        <is>
          <t>Canonical model</t>
        </is>
      </c>
      <c r="F7" s="13" t="inlineStr">
        <is>
          <t>M1</t>
        </is>
      </c>
      <c r="G7" s="15" t="inlineStr">
        <is>
          <t>Done</t>
        </is>
      </c>
      <c r="H7" s="14" t="inlineStr">
        <is>
          <t>6 tests incl. no-vendor-vocabulary guard</t>
        </is>
      </c>
      <c r="I7" s="14" t="inlineStr">
        <is>
          <t>src/models/ir.py</t>
        </is>
      </c>
    </row>
    <row r="8">
      <c r="A8" s="13" t="inlineStr">
        <is>
          <t>M3</t>
        </is>
      </c>
      <c r="B8" s="13" t="inlineStr">
        <is>
          <t>Phase 1 - Retail Analysis</t>
        </is>
      </c>
      <c r="C8" s="13" t="inlineStr">
        <is>
          <t>Extract: Layout -&gt; IR</t>
        </is>
      </c>
      <c r="D8" s="14" t="inlineStr">
        <is>
          <t>Nested JSON-in-string, projections + SemanticQuery + filters -&gt; IR.</t>
        </is>
      </c>
      <c r="E8" s="13" t="inlineStr">
        <is>
          <t>Parser</t>
        </is>
      </c>
      <c r="F8" s="13" t="inlineStr">
        <is>
          <t>M2</t>
        </is>
      </c>
      <c r="G8" s="15" t="inlineStr">
        <is>
          <t>Done</t>
        </is>
      </c>
      <c r="H8" s="14" t="inlineStr">
        <is>
          <t>24 tests: Retail 24/16; Regional 937/55/45; all predicates mapped</t>
        </is>
      </c>
      <c r="I8" s="14" t="inlineStr">
        <is>
          <t>src/parsers/layout_parser.py</t>
        </is>
      </c>
    </row>
    <row r="9">
      <c r="A9" s="13" t="inlineStr">
        <is>
          <t>M4</t>
        </is>
      </c>
      <c r="B9" s="13" t="inlineStr">
        <is>
          <t>Phase 1 - Retail Analysis</t>
        </is>
      </c>
      <c r="C9" s="13" t="inlineStr">
        <is>
          <t>Analyse: Compatibility analyzer</t>
        </is>
      </c>
      <c r="D9" s="14" t="inlineStr">
        <is>
          <t>Verdict + reason per visual; Markdown assessment.</t>
        </is>
      </c>
      <c r="E9" s="13" t="inlineStr">
        <is>
          <t>Compatibility analyzer</t>
        </is>
      </c>
      <c r="F9" s="13" t="inlineStr">
        <is>
          <t>M3</t>
        </is>
      </c>
      <c r="G9" s="15" t="inlineStr">
        <is>
          <t>Done</t>
        </is>
      </c>
      <c r="H9" s="14" t="inlineStr">
        <is>
          <t>7 tests: Retail 16/16 migratable; Regional 6 unsupported named</t>
        </is>
      </c>
      <c r="I9" s="14" t="inlineStr">
        <is>
          <t>src/analyzers/compatibility.py</t>
        </is>
      </c>
    </row>
    <row r="10">
      <c r="A10" s="13" t="inlineStr">
        <is>
          <t>M5</t>
        </is>
      </c>
      <c r="B10" s="13" t="inlineStr">
        <is>
          <t>Phase 1 - Retail Analysis</t>
        </is>
      </c>
      <c r="C10" s="13" t="inlineStr">
        <is>
          <t>Convert: Tableau generator</t>
        </is>
      </c>
      <c r="D10" s="14" t="inlineStr">
        <is>
          <t>Emit .twb + header-only CSV following Superstore.twb.</t>
        </is>
      </c>
      <c r="E10" s="13" t="inlineStr">
        <is>
          <t>Tableau generator</t>
        </is>
      </c>
      <c r="F10" s="13" t="inlineStr">
        <is>
          <t>M4</t>
        </is>
      </c>
      <c r="G10" s="15" t="inlineStr">
        <is>
          <t>Done</t>
        </is>
      </c>
      <c r="H10" s="14" t="inlineStr">
        <is>
          <t>11 tests AND both workbooks OPEN in Tableau Desktop 2026.2 (load rk=ok)</t>
        </is>
      </c>
      <c r="I10" s="14" t="inlineStr">
        <is>
          <t>src/generators/twb_writer.py</t>
        </is>
      </c>
    </row>
    <row r="11">
      <c r="A11" s="13" t="inlineStr">
        <is>
          <t>M6</t>
        </is>
      </c>
      <c r="B11" s="13" t="inlineStr">
        <is>
          <t>Phase 1 - Retail Analysis</t>
        </is>
      </c>
      <c r="C11" s="13" t="inlineStr">
        <is>
          <t>CLI end-to-end</t>
        </is>
      </c>
      <c r="D11" s="14" t="inlineStr">
        <is>
          <t>One command: .pbix -&gt; assessment.md + summary.json + .twb + csv.</t>
        </is>
      </c>
      <c r="E11" s="13" t="inlineStr">
        <is>
          <t>CLI</t>
        </is>
      </c>
      <c r="F11" s="13" t="inlineStr">
        <is>
          <t>M5</t>
        </is>
      </c>
      <c r="G11" s="15" t="inlineStr">
        <is>
          <t>Done</t>
        </is>
      </c>
      <c r="H11" s="14" t="inlineStr">
        <is>
          <t>4 tests; python -m src.cli input/... runs clean</t>
        </is>
      </c>
      <c r="I11" s="14" t="inlineStr">
        <is>
          <t>src/cli.py</t>
        </is>
      </c>
    </row>
    <row r="12">
      <c r="A12" s="13" t="inlineStr">
        <is>
          <t>M7</t>
        </is>
      </c>
      <c r="B12" s="13" t="inlineStr">
        <is>
          <t>Phase 2 - Second file</t>
        </is>
      </c>
      <c r="C12" s="13" t="inlineStr">
        <is>
          <t>Stress test: Regional Sales</t>
        </is>
      </c>
      <c r="D12" s="14" t="inlineStr">
        <is>
          <t>937 containers, 22 visual types, subqueries in From.</t>
        </is>
      </c>
      <c r="E12" s="13" t="inlineStr">
        <is>
          <t>All</t>
        </is>
      </c>
      <c r="F12" s="13" t="inlineStr">
        <is>
          <t>M6</t>
        </is>
      </c>
      <c r="G12" s="15" t="inlineStr">
        <is>
          <t>Done</t>
        </is>
      </c>
      <c r="H12" s="14" t="inlineStr">
        <is>
          <t>47 sheets / 9 dashboards; opens in Tableau; nothing dropped silently</t>
        </is>
      </c>
      <c r="I12" s="14" t="inlineStr">
        <is>
          <t>found the subquery-alias bug</t>
        </is>
      </c>
    </row>
    <row r="13">
      <c r="A13" s="13" t="inlineStr">
        <is>
          <t>M8</t>
        </is>
      </c>
      <c r="B13" s="13" t="inlineStr">
        <is>
          <t>Phase 3 - Model layer</t>
        </is>
      </c>
      <c r="C13" s="13" t="inlineStr">
        <is>
          <t>Live model extraction (opt-in)</t>
        </is>
      </c>
      <c r="D13" s="14" t="inlineStr">
        <is>
          <t>TMSCHEMA DMVs via the ADOMD client shipped in Desktop.</t>
        </is>
      </c>
      <c r="E13" s="13" t="inlineStr">
        <is>
          <t>Parser</t>
        </is>
      </c>
      <c r="F13" s="13" t="inlineStr">
        <is>
          <t>M7</t>
        </is>
      </c>
      <c r="G13" s="15" t="inlineStr">
        <is>
          <t>Done</t>
        </is>
      </c>
      <c r="H13" s="14" t="inlineStr">
        <is>
          <t>6 tests on real captured DMV JSON: 15 measures w/ DAX, 8 relationships</t>
        </is>
      </c>
      <c r="I13" s="14" t="inlineStr">
        <is>
          <t>src/parsers/model_reader.py</t>
        </is>
      </c>
    </row>
    <row r="14">
      <c r="A14" s="13" t="inlineStr">
        <is>
          <t>M9</t>
        </is>
      </c>
      <c r="B14" s="13" t="inlineStr">
        <is>
          <t>Phase 3 - Model layer</t>
        </is>
      </c>
      <c r="C14" s="13" t="inlineStr">
        <is>
          <t>DAX translator (named subset)</t>
        </is>
      </c>
      <c r="D14" s="14" t="inlineStr">
        <is>
          <t>Arithmetic, comparisons, aggregates, DIVIDE/IF/BLANK; refuse the rest.</t>
        </is>
      </c>
      <c r="E14" s="13" t="inlineStr">
        <is>
          <t>DAX translator</t>
        </is>
      </c>
      <c r="F14" s="13" t="inlineStr">
        <is>
          <t>M8</t>
        </is>
      </c>
      <c r="G14" s="15" t="inlineStr">
        <is>
          <t>Done</t>
        </is>
      </c>
      <c r="H14" s="14" t="inlineStr">
        <is>
          <t>18 tests; Regional: 4 translated / 11 refused with reason</t>
        </is>
      </c>
      <c r="I14" s="14" t="inlineStr">
        <is>
          <t>src/translators/dax_to_tableau.py</t>
        </is>
      </c>
    </row>
    <row r="15">
      <c r="A15" s="13" t="inlineStr">
        <is>
          <t>M10</t>
        </is>
      </c>
      <c r="B15" s="13" t="inlineStr">
        <is>
          <t>Phase 4 - Documentation</t>
        </is>
      </c>
      <c r="C15" s="13" t="inlineStr">
        <is>
          <t>Two-audience codebase guide</t>
        </is>
      </c>
      <c r="D15" s="14" t="inlineStr">
        <is>
          <t>Plain-English + technical explanation of every file.</t>
        </is>
      </c>
      <c r="E15" s="13" t="inlineStr">
        <is>
          <t>-</t>
        </is>
      </c>
      <c r="F15" s="13" t="inlineStr">
        <is>
          <t>M9</t>
        </is>
      </c>
      <c r="G15" s="15" t="inlineStr">
        <is>
          <t>Done</t>
        </is>
      </c>
      <c r="H15" s="14" t="inlineStr">
        <is>
          <t>CODEBASE_GUIDE.xlsx + docs/CODEBASE_GUIDE.md generated from one source</t>
        </is>
      </c>
      <c r="I15" s="14" t="inlineStr"/>
    </row>
    <row r="16">
      <c r="A16" s="13" t="inlineStr">
        <is>
          <t>M11</t>
        </is>
      </c>
      <c r="B16" s="13" t="inlineStr">
        <is>
          <t>Phase 5 - Product</t>
        </is>
      </c>
      <c r="C16" s="13" t="inlineStr">
        <is>
          <t>Web UI + one-click launcher</t>
        </is>
      </c>
      <c r="D16" s="14" t="inlineStr">
        <is>
          <t>FastAPI app over the shared pipeline; iOS-style UI with 4 themes, light/dark, animated backgrounds; run_app.bat bootstraps venv + libraries.</t>
        </is>
      </c>
      <c r="E16" s="13" t="inlineStr">
        <is>
          <t>Web / launcher</t>
        </is>
      </c>
      <c r="F16" s="13" t="inlineStr">
        <is>
          <t>M10</t>
        </is>
      </c>
      <c r="G16" s="15" t="inlineStr">
        <is>
          <t>Done</t>
        </is>
      </c>
      <c r="H16" s="14" t="inlineStr">
        <is>
          <t>15 web tests; UI driven end-to-end in the browser; run_app.bat verified from a clean copy with no venv</t>
        </is>
      </c>
      <c r="I16" s="14" t="inlineStr">
        <is>
          <t>src/web, src/pipeline.py, run_app.bat</t>
        </is>
      </c>
    </row>
    <row r="18">
      <c r="A18" s="16" t="inlineStr">
        <is>
          <t>Rule: a milestone is Done only when its Verification column has actually been run and passed.</t>
        </is>
      </c>
    </row>
  </sheetData>
  <dataValidations count="1">
    <dataValidation sqref="G4:G16" showDropDown="0" showInputMessage="0" showErrorMessage="0" allowBlank="1" type="list">
      <formula1>"Done,In Progress,Not Started,Blocked"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66" customWidth="1" min="4" max="4"/>
    <col width="38" customWidth="1" min="5" max="5"/>
    <col width="34" customWidth="1" min="6" max="6"/>
    <col width="10" customWidth="1" min="7" max="7"/>
  </cols>
  <sheetData>
    <row r="1">
      <c r="A1" s="11" t="inlineStr">
        <is>
          <t>Architecture  -  component responsibilities</t>
        </is>
      </c>
    </row>
    <row r="3" ht="28" customHeight="1">
      <c r="A3" s="12" t="inlineStr">
        <is>
          <t>Layer</t>
        </is>
      </c>
      <c r="B3" s="12" t="inlineStr">
        <is>
          <t>Component</t>
        </is>
      </c>
      <c r="C3" s="12" t="inlineStr">
        <is>
          <t>Owns (role)</t>
        </is>
      </c>
      <c r="D3" s="12" t="inlineStr">
        <is>
          <t>Responsibility</t>
        </is>
      </c>
      <c r="E3" s="12" t="inlineStr">
        <is>
          <t>Explicitly does NOT own</t>
        </is>
      </c>
      <c r="F3" s="12" t="inlineStr">
        <is>
          <t>File</t>
        </is>
      </c>
      <c r="G3" s="12" t="inlineStr">
        <is>
          <t>Status</t>
        </is>
      </c>
    </row>
    <row r="4">
      <c r="A4" s="13" t="inlineStr">
        <is>
          <t>1. Input</t>
        </is>
      </c>
      <c r="B4" s="13" t="inlineStr">
        <is>
          <t>PbixReader</t>
        </is>
      </c>
      <c r="C4" s="13" t="inlineStr">
        <is>
          <t>Parser</t>
        </is>
      </c>
      <c r="D4" s="14" t="inlineStr">
        <is>
          <t>Open the .pbix zip; decode Report/Layout as UTF-16LE JSON; expose parts tolerantly.</t>
        </is>
      </c>
      <c r="E4" s="14" t="inlineStr">
        <is>
          <t>Any judgement about Tableau</t>
        </is>
      </c>
      <c r="F4" s="13" t="inlineStr">
        <is>
          <t>src/parsers/pbix_reader.py</t>
        </is>
      </c>
      <c r="G4" s="13" t="inlineStr">
        <is>
          <t>Done</t>
        </is>
      </c>
    </row>
    <row r="5">
      <c r="A5" s="13" t="inlineStr">
        <is>
          <t>1. Input</t>
        </is>
      </c>
      <c r="B5" s="13" t="inlineStr">
        <is>
          <t>LayoutParser</t>
        </is>
      </c>
      <c r="C5" s="13" t="inlineStr">
        <is>
          <t>Parser</t>
        </is>
      </c>
      <c r="D5" s="14" t="inlineStr">
        <is>
          <t>Decode JSON-in-string fields; position from config.layouts[0].position; SemanticQuery Select/From -&gt; fields; filters -&gt; Condition trees.</t>
        </is>
      </c>
      <c r="E5" s="14" t="inlineStr">
        <is>
          <t>Deciding whether a visual can be migrated</t>
        </is>
      </c>
      <c r="F5" s="13" t="inlineStr">
        <is>
          <t>src/parsers/layout_parser.py</t>
        </is>
      </c>
      <c r="G5" s="13" t="inlineStr">
        <is>
          <t>Done</t>
        </is>
      </c>
    </row>
    <row r="6">
      <c r="A6" s="13" t="inlineStr">
        <is>
          <t>1. Input</t>
        </is>
      </c>
      <c r="B6" s="13" t="inlineStr">
        <is>
          <t>ModelReader (opt-in)</t>
        </is>
      </c>
      <c r="C6" s="13" t="inlineStr">
        <is>
          <t>Parser</t>
        </is>
      </c>
      <c r="D6" s="14" t="inlineStr">
        <is>
          <t>Measures / columns / relationships from Power BI Desktop's live AS instance via TMSCHEMA DMVs.</t>
        </is>
      </c>
      <c r="E6" s="14" t="inlineStr">
        <is>
          <t>Running when Desktop is closed - degrades gracefully</t>
        </is>
      </c>
      <c r="F6" s="13" t="inlineStr">
        <is>
          <t>src/parsers/model_reader.py</t>
        </is>
      </c>
      <c r="G6" s="13" t="inlineStr">
        <is>
          <t>Done</t>
        </is>
      </c>
    </row>
    <row r="7">
      <c r="A7" s="13" t="inlineStr">
        <is>
          <t>2. Core</t>
        </is>
      </c>
      <c r="B7" s="13" t="inlineStr">
        <is>
          <t>Intermediate Representation</t>
        </is>
      </c>
      <c r="C7" s="13" t="inlineStr">
        <is>
          <t>Canonical model</t>
        </is>
      </c>
      <c r="D7" s="14" t="inlineStr">
        <is>
          <t>Vendor-neutral Report / Page / Visual / FieldRef / Measure / Relationship. THE POINT OF THE PROJECT.</t>
        </is>
      </c>
      <c r="E7" s="14" t="inlineStr">
        <is>
          <t>Either vendor's vocabulary</t>
        </is>
      </c>
      <c r="F7" s="13" t="inlineStr">
        <is>
          <t>src/models/ir.py</t>
        </is>
      </c>
      <c r="G7" s="13" t="inlineStr">
        <is>
          <t>Done</t>
        </is>
      </c>
    </row>
    <row r="8">
      <c r="A8" s="13" t="inlineStr">
        <is>
          <t>3. Analysis</t>
        </is>
      </c>
      <c r="B8" s="13" t="inlineStr">
        <is>
          <t>Compatibility analyzer</t>
        </is>
      </c>
      <c r="C8" s="13" t="inlineStr">
        <is>
          <t>Compatibility analyzer</t>
        </is>
      </c>
      <c r="D8" s="14" t="inlineStr">
        <is>
          <t>IR + capability matrix -&gt; direct / approximate / manual / unsupported / decorative, with reasons; writes assessment.md.</t>
        </is>
      </c>
      <c r="E8" s="14" t="inlineStr">
        <is>
          <t>Writing any workbook</t>
        </is>
      </c>
      <c r="F8" s="13" t="inlineStr">
        <is>
          <t>src/analyzers/compatibility.py</t>
        </is>
      </c>
      <c r="G8" s="13" t="inlineStr">
        <is>
          <t>Done</t>
        </is>
      </c>
    </row>
    <row r="9">
      <c r="A9" s="13" t="inlineStr">
        <is>
          <t>3. Analysis</t>
        </is>
      </c>
      <c r="B9" s="13" t="inlineStr">
        <is>
          <t>DAX translator</t>
        </is>
      </c>
      <c r="C9" s="13" t="inlineStr">
        <is>
          <t>DAX translator</t>
        </is>
      </c>
      <c r="D9" s="14" t="inlineStr">
        <is>
          <t>Named DAX subset -&gt; Tableau calc text; raises UnsupportedDax otherwise.</t>
        </is>
      </c>
      <c r="E9" s="14" t="inlineStr">
        <is>
          <t>Guessing; partial translation</t>
        </is>
      </c>
      <c r="F9" s="13" t="inlineStr">
        <is>
          <t>src/translators/dax_to_tableau.py</t>
        </is>
      </c>
      <c r="G9" s="13" t="inlineStr">
        <is>
          <t>Done</t>
        </is>
      </c>
    </row>
    <row r="10">
      <c r="A10" s="13" t="inlineStr">
        <is>
          <t>4. Output</t>
        </is>
      </c>
      <c r="B10" s="13" t="inlineStr">
        <is>
          <t>Tableau generator</t>
        </is>
      </c>
      <c r="C10" s="13" t="inlineStr">
        <is>
          <t>Tableau generator</t>
        </is>
      </c>
      <c r="D10" s="14" t="inlineStr">
        <is>
          <t>IR -&gt; .twb XML + header-only CSV; structure from Superstore.twb plus the loader requirements found by bisect.</t>
        </is>
      </c>
      <c r="E10" s="14" t="inlineStr">
        <is>
          <t>Deciding what is migratable</t>
        </is>
      </c>
      <c r="F10" s="13" t="inlineStr">
        <is>
          <t>src/generators/twb_writer.py</t>
        </is>
      </c>
      <c r="G10" s="13" t="inlineStr">
        <is>
          <t>Done</t>
        </is>
      </c>
    </row>
    <row r="11">
      <c r="A11" s="13" t="inlineStr">
        <is>
          <t>5. Shell</t>
        </is>
      </c>
      <c r="B11" s="13" t="inlineStr">
        <is>
          <t>CLI</t>
        </is>
      </c>
      <c r="C11" s="13" t="inlineStr">
        <is>
          <t>CLI</t>
        </is>
      </c>
      <c r="D11" s="14" t="inlineStr">
        <is>
          <t>Pipeline wiring; --model live / --model-dir; exit codes 0/1/2.</t>
        </is>
      </c>
      <c r="E11" s="14" t="inlineStr">
        <is>
          <t>Any business logic</t>
        </is>
      </c>
      <c r="F11" s="13" t="inlineStr">
        <is>
          <t>src/cli.py</t>
        </is>
      </c>
      <c r="G11" s="13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84" customWidth="1" min="4" max="4"/>
    <col width="58" customWidth="1" min="5" max="5"/>
  </cols>
  <sheetData>
    <row r="1">
      <c r="A1" s="11" t="inlineStr">
        <is>
          <t>Findings  -  what we proved, what Microsoft documents, and what we assume</t>
        </is>
      </c>
    </row>
    <row r="3" ht="28" customHeight="1">
      <c r="A3" s="12" t="inlineStr">
        <is>
          <t>ID</t>
        </is>
      </c>
      <c r="B3" s="12" t="inlineStr">
        <is>
          <t>Confidence</t>
        </is>
      </c>
      <c r="C3" s="12" t="inlineStr">
        <is>
          <t>Area</t>
        </is>
      </c>
      <c r="D3" s="12" t="inlineStr">
        <is>
          <t>Finding</t>
        </is>
      </c>
      <c r="E3" s="12" t="inlineStr">
        <is>
          <t>Evidence</t>
        </is>
      </c>
    </row>
    <row r="4">
      <c r="A4" s="13" t="inlineStr">
        <is>
          <t>F1</t>
        </is>
      </c>
      <c r="B4" s="15" t="inlineStr">
        <is>
          <t>VERIFIED</t>
        </is>
      </c>
      <c r="C4" s="13" t="inlineStr">
        <is>
          <t>Container</t>
        </is>
      </c>
      <c r="D4" s="14" t="inlineStr">
        <is>
          <t>.pbix is a ZIP/OPC container.</t>
        </is>
      </c>
      <c r="E4" s="14" t="inlineStr">
        <is>
          <t>zipfile.is_zipfile() true for both files</t>
        </is>
      </c>
    </row>
    <row r="5">
      <c r="A5" s="13" t="inlineStr">
        <is>
          <t>F2</t>
        </is>
      </c>
      <c r="B5" s="15" t="inlineStr">
        <is>
          <t>VERIFIED</t>
        </is>
      </c>
      <c r="C5" s="13" t="inlineStr">
        <is>
          <t>Report</t>
        </is>
      </c>
      <c r="D5" s="14" t="inlineStr">
        <is>
          <t>Report/Layout is UTF-16LE JSON with NO BOM; UTF-8 decoding fails.</t>
        </is>
      </c>
      <c r="E5" s="14" t="inlineStr">
        <is>
          <t>First bytes 7b 00 22 00</t>
        </is>
      </c>
    </row>
    <row r="6">
      <c r="A6" s="13" t="inlineStr">
        <is>
          <t>F3</t>
        </is>
      </c>
      <c r="B6" s="15" t="inlineStr">
        <is>
          <t>VERIFIED</t>
        </is>
      </c>
      <c r="C6" s="13" t="inlineStr">
        <is>
          <t>Report</t>
        </is>
      </c>
      <c r="D6" s="14" t="inlineStr">
        <is>
          <t>config / query / filters / dataTransforms are JSON stored AS STRINGS (second json.loads).</t>
        </is>
      </c>
      <c r="E6" s="14" t="inlineStr">
        <is>
          <t>isinstance(vc['config'], str)</t>
        </is>
      </c>
    </row>
    <row r="7">
      <c r="A7" s="13" t="inlineStr">
        <is>
          <t>F4</t>
        </is>
      </c>
      <c r="B7" s="15" t="inlineStr">
        <is>
          <t>VERIFIED</t>
        </is>
      </c>
      <c r="C7" s="13" t="inlineStr">
        <is>
          <t>Report</t>
        </is>
      </c>
      <c r="D7" s="14" t="inlineStr">
        <is>
          <t>Position is canonically config.layouts[0].position; top-level x/y is an optional rounded mirror.</t>
        </is>
      </c>
      <c r="E7" s="14" t="inlineStr">
        <is>
          <t>Original Retail had none; re-saved Retail and Regional have both</t>
        </is>
      </c>
    </row>
    <row r="8">
      <c r="A8" s="13" t="inlineStr">
        <is>
          <t>F5</t>
        </is>
      </c>
      <c r="B8" s="15" t="inlineStr">
        <is>
          <t>VERIFIED</t>
        </is>
      </c>
      <c r="C8" s="13" t="inlineStr">
        <is>
          <t>Report</t>
        </is>
      </c>
      <c r="D8" s="14" t="inlineStr">
        <is>
          <t>'query' and 'projections' do not imply each other (7 bound visuals without query; 3 textboxes with query).</t>
        </is>
      </c>
      <c r="E8" s="14" t="inlineStr">
        <is>
          <t>Regional Sales census</t>
        </is>
      </c>
    </row>
    <row r="9">
      <c r="A9" s="13" t="inlineStr">
        <is>
          <t>F6</t>
        </is>
      </c>
      <c r="B9" s="15" t="inlineStr">
        <is>
          <t>VERIFIED</t>
        </is>
      </c>
      <c r="C9" s="13" t="inlineStr">
        <is>
          <t>Report</t>
        </is>
      </c>
      <c r="D9" s="14" t="inlineStr">
        <is>
          <t>Signal vs noise: Regional 937 containers, 55 data-bound; Retail 24 -&gt; 16.</t>
        </is>
      </c>
      <c r="E9" s="14" t="inlineStr">
        <is>
          <t>Full inventory walk</t>
        </is>
      </c>
    </row>
    <row r="10">
      <c r="A10" s="13" t="inlineStr">
        <is>
          <t>F7</t>
        </is>
      </c>
      <c r="B10" s="15" t="inlineStr">
        <is>
          <t>VERIFIED</t>
        </is>
      </c>
      <c r="C10" s="13" t="inlineStr">
        <is>
          <t>Report</t>
        </is>
      </c>
      <c r="D10" s="14" t="inlineStr">
        <is>
          <t>SemanticQueryDataShapeCommand distinguishes Column / Measure / Aggregation(Function int).</t>
        </is>
      </c>
      <c r="E10" s="14" t="inlineStr">
        <is>
          <t>Both files; Function 0/1/3 cross-checked with Name prefixes</t>
        </is>
      </c>
    </row>
    <row r="11">
      <c r="A11" s="13" t="inlineStr">
        <is>
          <t>F8</t>
        </is>
      </c>
      <c r="B11" s="15" t="inlineStr">
        <is>
          <t>VERIFIED</t>
        </is>
      </c>
      <c r="C11" s="13" t="inlineStr">
        <is>
          <t>Report</t>
        </is>
      </c>
      <c r="D11" s="14" t="inlineStr">
        <is>
          <t>From entries can be SUBQUERIES ({Name, Expression:{Subquery}}) - alias resolves to inner entity.</t>
        </is>
      </c>
      <c r="E11" s="14" t="inlineStr">
        <is>
          <t>Regional; crashed the first parser draft</t>
        </is>
      </c>
    </row>
    <row r="12">
      <c r="A12" s="13" t="inlineStr">
        <is>
          <t>F9</t>
        </is>
      </c>
      <c r="B12" s="15" t="inlineStr">
        <is>
          <t>VERIFIED</t>
        </is>
      </c>
      <c r="C12" s="13" t="inlineStr">
        <is>
          <t>Report</t>
        </is>
      </c>
      <c r="D12" s="14" t="inlineStr">
        <is>
          <t>Filter predicates seen: In, Comparison(kind 0-3), And, Not; literals 'x', 12L, 0.5M, true/false, null.</t>
        </is>
      </c>
      <c r="E12" s="14" t="inlineStr">
        <is>
          <t>Census across both files</t>
        </is>
      </c>
    </row>
    <row r="13">
      <c r="A13" s="13" t="inlineStr">
        <is>
          <t>F10</t>
        </is>
      </c>
      <c r="B13" s="15" t="inlineStr">
        <is>
          <t>VERIFIED</t>
        </is>
      </c>
      <c r="C13" s="13" t="inlineStr">
        <is>
          <t>Model</t>
        </is>
      </c>
      <c r="D13" s="14" t="inlineStr">
        <is>
          <t>DataModel is an AS ABF backup, 30% printable; DAX not safely scrapeable from the file.</t>
        </is>
      </c>
      <c r="E13" s="14" t="inlineStr">
        <is>
          <t>STREAM_STORAGE_SIGNATURE_ header; byte searches</t>
        </is>
      </c>
    </row>
    <row r="14">
      <c r="A14" s="13" t="inlineStr">
        <is>
          <t>F11</t>
        </is>
      </c>
      <c r="B14" s="15" t="inlineStr">
        <is>
          <t>VERIFIED</t>
        </is>
      </c>
      <c r="C14" s="13" t="inlineStr">
        <is>
          <t>Model</t>
        </is>
      </c>
      <c r="D14" s="14" t="inlineStr">
        <is>
          <t>The FULL model is readable from Desktop's live AS instance via TMSCHEMA DMVs (complete DAX, relationships, M).</t>
        </is>
      </c>
      <c r="E14" s="14" t="inlineStr">
        <is>
          <t>localhost:52961 via AdomdClient shipped in Desktop bin</t>
        </is>
      </c>
    </row>
    <row r="15">
      <c r="A15" s="13" t="inlineStr">
        <is>
          <t>F12</t>
        </is>
      </c>
      <c r="B15" s="15" t="inlineStr">
        <is>
          <t>VERIFIED</t>
        </is>
      </c>
      <c r="C15" s="13" t="inlineStr">
        <is>
          <t>Model</t>
        </is>
      </c>
      <c r="D15" s="14" t="inlineStr">
        <is>
          <t>That route needs Desktop OPEN with the file; the port changes every launch.</t>
        </is>
      </c>
      <c r="E15" s="14" t="inlineStr">
        <is>
          <t>msmdsrv PID present, then absent</t>
        </is>
      </c>
    </row>
    <row r="16">
      <c r="A16" s="13" t="inlineStr">
        <is>
          <t>F13</t>
        </is>
      </c>
      <c r="B16" s="17" t="inlineStr">
        <is>
          <t>DOCUMENTED</t>
        </is>
      </c>
      <c r="C16" s="13" t="inlineStr">
        <is>
          <t>PBIP</t>
        </is>
      </c>
      <c r="D16" s="14" t="inlineStr">
        <is>
          <t>PBIX &lt;-&gt; PBIP conversion only via Desktop File &gt; Save as; cannot be automated.</t>
        </is>
      </c>
      <c r="E16" s="14" t="inlineStr">
        <is>
          <t>MS Learn projects-overview FAQ (2026-08-18)</t>
        </is>
      </c>
    </row>
    <row r="17">
      <c r="A17" s="13" t="inlineStr">
        <is>
          <t>F14</t>
        </is>
      </c>
      <c r="B17" s="17" t="inlineStr">
        <is>
          <t>DOCUMENTED</t>
        </is>
      </c>
      <c r="C17" s="13" t="inlineStr">
        <is>
          <t>PBIP</t>
        </is>
      </c>
      <c r="D17" s="14" t="inlineStr">
        <is>
          <t>PBIP and PBIR are preview features with separate checkboxes; PBIR will become the only report format at GA.</t>
        </is>
      </c>
      <c r="E17" s="14" t="inlineStr">
        <is>
          <t>MS Learn projects-report</t>
        </is>
      </c>
    </row>
    <row r="18">
      <c r="A18" s="13" t="inlineStr">
        <is>
          <t>F15</t>
        </is>
      </c>
      <c r="B18" s="15" t="inlineStr">
        <is>
          <t>VERIFIED</t>
        </is>
      </c>
      <c r="C18" s="13" t="inlineStr">
        <is>
          <t>Tableau</t>
        </is>
      </c>
      <c r="D18" s="14" t="inlineStr">
        <is>
          <t>Superstore.twbx ships with Tableau 2026.2 - the authoritative .twb reference.</t>
        </is>
      </c>
      <c r="E18" s="14" t="inlineStr">
        <is>
          <t>C:\Program Files\Tableau\Tableau 2026.2\help\Workbooks\en_US</t>
        </is>
      </c>
    </row>
    <row r="19">
      <c r="A19" s="13" t="inlineStr">
        <is>
          <t>F16</t>
        </is>
      </c>
      <c r="B19" s="15" t="inlineStr">
        <is>
          <t>VERIFIED</t>
        </is>
      </c>
      <c r="C19" s="13" t="inlineStr">
        <is>
          <t>Tableau</t>
        </is>
      </c>
      <c r="D19" s="14" t="inlineStr">
        <is>
          <t>Tableau REQUIRES: document-format-change-manifest + source-build; explain-data node; simple-id on every sheet/dashboard/window; &lt;style/&gt; per table; &gt;=1 worksheet.</t>
        </is>
      </c>
      <c r="E19" s="14" t="inlineStr">
        <is>
          <t>~60-variant bisect against Superstore.twb (findings section 7)</t>
        </is>
      </c>
    </row>
    <row r="20">
      <c r="A20" s="13" t="inlineStr">
        <is>
          <t>F17</t>
        </is>
      </c>
      <c r="B20" s="15" t="inlineStr">
        <is>
          <t>VERIFIED</t>
        </is>
      </c>
      <c r="C20" s="13" t="inlineStr">
        <is>
          <t>Tableau</t>
        </is>
      </c>
      <c r="D20" s="14" t="inlineStr">
        <is>
          <t>Tableau's loader is not a plain XML parser: empty shelves must be &lt;rows&gt;&lt;/rows&gt; not &lt;rows /&gt;, and text-node newlines must be &amp;#10; entities.</t>
        </is>
      </c>
      <c r="E20" s="14" t="inlineStr">
        <is>
          <t>c3 vs card; s5 vs m8</t>
        </is>
      </c>
    </row>
    <row r="21">
      <c r="A21" s="13" t="inlineStr">
        <is>
          <t>F18</t>
        </is>
      </c>
      <c r="B21" s="15" t="inlineStr">
        <is>
          <t>VERIFIED</t>
        </is>
      </c>
      <c r="C21" s="13" t="inlineStr">
        <is>
          <t>Tableau</t>
        </is>
      </c>
      <c r="D21" s="14" t="inlineStr">
        <is>
          <t>Hand-written dashboard windows always fail; omit them and Tableau recreates them.</t>
        </is>
      </c>
      <c r="E21" s="14" t="inlineStr">
        <is>
          <t>d1 opens, d4 fails</t>
        </is>
      </c>
    </row>
    <row r="22">
      <c r="A22" s="13" t="inlineStr">
        <is>
          <t>F19</t>
        </is>
      </c>
      <c r="B22" s="15" t="inlineStr">
        <is>
          <t>VERIFIED</t>
        </is>
      </c>
      <c r="C22" s="13" t="inlineStr">
        <is>
          <t>Tableau</t>
        </is>
      </c>
      <c r="D22" s="14" t="inlineStr">
        <is>
          <t>Optional: repository-location, mapsources, datasource-relationships, thumbnails, actions, metadata-records, fcp relation wrappers.</t>
        </is>
      </c>
      <c r="E22" s="14" t="inlineStr">
        <is>
          <t>f-series and q-series</t>
        </is>
      </c>
    </row>
    <row r="23">
      <c r="A23" s="13" t="inlineStr">
        <is>
          <t>F20</t>
        </is>
      </c>
      <c r="B23" s="15" t="inlineStr">
        <is>
          <t>VERIFIED</t>
        </is>
      </c>
      <c r="C23" s="13" t="inlineStr">
        <is>
          <t>Tableau</t>
        </is>
      </c>
      <c r="D23" s="14" t="inlineStr">
        <is>
          <t>'OPENED: Tableau - Book1/Book2' is a FALSE POSITIVE (silent failure + blank book). Pass = title equals file name and load rk=ok.</t>
        </is>
      </c>
      <c r="E23" s="14" t="inlineStr">
        <is>
          <t>e2/e4/y1 re-runs</t>
        </is>
      </c>
    </row>
    <row r="24">
      <c r="A24" s="13" t="inlineStr">
        <is>
          <t>F21</t>
        </is>
      </c>
      <c r="B24" s="15" t="inlineStr">
        <is>
          <t>VERIFIED</t>
        </is>
      </c>
      <c r="C24" s="13" t="inlineStr">
        <is>
          <t>Tooling</t>
        </is>
      </c>
      <c r="D24" s="14" t="inlineStr">
        <is>
          <t>Windows console is cp1252; all IO must set encoding='utf-8'.</t>
        </is>
      </c>
      <c r="E24" s="14" t="inlineStr">
        <is>
          <t>UnicodeEncodeError while probing</t>
        </is>
      </c>
    </row>
    <row r="25">
      <c r="A25" s="13" t="inlineStr">
        <is>
          <t>F23</t>
        </is>
      </c>
      <c r="B25" s="15" t="inlineStr">
        <is>
          <t>VERIFIED</t>
        </is>
      </c>
      <c r="C25" s="13" t="inlineStr">
        <is>
          <t>Snapshots</t>
        </is>
      </c>
      <c r="D25" s="14" t="inlineStr">
        <is>
          <t>Power BI's engine evaluates per-visual SUMMARIZECOLUMNS queries over ADOMD; headers come back as Table[Column] / [alias].</t>
        </is>
      </c>
      <c r="E25" s="14" t="inlineStr">
        <is>
          <t>Regional open in Desktop: 4,968 rows</t>
        </is>
      </c>
    </row>
    <row r="26">
      <c r="A26" s="13" t="inlineStr">
        <is>
          <t>F24</t>
        </is>
      </c>
      <c r="B26" s="15" t="inlineStr">
        <is>
          <t>VERIFIED</t>
        </is>
      </c>
      <c r="C26" s="13" t="inlineStr">
        <is>
          <t>Report</t>
        </is>
      </c>
      <c r="D26" s="14" t="inlineStr">
        <is>
          <t>Hierarchy levels are stored as HierarchyLevel expressions; name-only fields can be measures (Revenue Won) and must be re-classified from the model.</t>
        </is>
      </c>
      <c r="E26" s="14" t="inlineStr">
        <is>
          <t>Rejected queries before the fix</t>
        </is>
      </c>
    </row>
    <row r="27">
      <c r="A27" s="13" t="inlineStr">
        <is>
          <t>F25</t>
        </is>
      </c>
      <c r="B27" s="15" t="inlineStr">
        <is>
          <t>VERIFIED</t>
        </is>
      </c>
      <c r="C27" s="13" t="inlineStr">
        <is>
          <t>Sample data</t>
        </is>
      </c>
      <c r="D27" s="14" t="inlineStr">
        <is>
          <t>Regional's RELATIVE MONTH ranges -92..-45 today (data ends 2022): its 'last 6 months' page filter empties 29 visuals in Power BI itself.</t>
        </is>
      </c>
      <c r="E27" s="14" t="inlineStr">
        <is>
          <t>EVALUATE MIN/MAX against the live model</t>
        </is>
      </c>
    </row>
    <row r="28">
      <c r="A28" s="13" t="inlineStr">
        <is>
          <t>F22</t>
        </is>
      </c>
      <c r="B28" s="15" t="inlineStr">
        <is>
          <t>VERIFIED</t>
        </is>
      </c>
      <c r="C28" s="13" t="inlineStr">
        <is>
          <t>Input</t>
        </is>
      </c>
      <c r="D28" s="14" t="inlineStr">
        <is>
          <t>Retail Analysis was re-saved by Desktop 2.149 on 2026-09-12 (13.6MB -&gt; 9.7MB, DataMashup gone, top-level x/y added); visuals unchanged.</t>
        </is>
      </c>
      <c r="E28" s="14" t="inlineStr">
        <is>
          <t>SHA-256 changed; tests updated to hold across both vintages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72" customWidth="1" min="2" max="2"/>
    <col width="76" customWidth="1" min="3" max="3"/>
  </cols>
  <sheetData>
    <row r="1">
      <c r="A1" s="11" t="inlineStr">
        <is>
          <t>Environment  -  verified machine facts</t>
        </is>
      </c>
    </row>
    <row r="3" ht="28" customHeight="1">
      <c r="A3" s="12" t="inlineStr">
        <is>
          <t>Item</t>
        </is>
      </c>
      <c r="B3" s="12" t="inlineStr">
        <is>
          <t>Value</t>
        </is>
      </c>
      <c r="C3" s="12" t="inlineStr">
        <is>
          <t>Notes</t>
        </is>
      </c>
    </row>
    <row r="4">
      <c r="A4" s="13" t="inlineStr">
        <is>
          <t>Project root</t>
        </is>
      </c>
      <c r="B4" s="13" t="inlineStr">
        <is>
          <t>C:\Redesign\BI_report_migration</t>
        </is>
      </c>
      <c r="C4" s="14" t="inlineStr">
        <is>
          <t>Working directory</t>
        </is>
      </c>
    </row>
    <row r="5">
      <c r="A5" s="13" t="inlineStr">
        <is>
          <t>Source file 1</t>
        </is>
      </c>
      <c r="B5" s="13" t="inlineStr">
        <is>
          <t>Retail Analysis Sample PBIX.pbix</t>
        </is>
      </c>
      <c r="C5" s="14" t="inlineStr">
        <is>
          <t>9,71 MB (re-saved 2026-09-12) - 4 pages, 24 containers, 16 data-bound. PHASE 1 TARGET</t>
        </is>
      </c>
    </row>
    <row r="6">
      <c r="A6" s="13" t="inlineStr">
        <is>
          <t>Source file 1 SHA-256</t>
        </is>
      </c>
      <c r="B6" s="13" t="inlineStr">
        <is>
          <t>3F03073ED49A9BA3A0CE81B2D8C42C390B01C95821C3DB0D8339A80C2D24EE91</t>
        </is>
      </c>
      <c r="C6" s="14" t="inlineStr">
        <is>
          <t>Original (13,6 MB) was 0D1B2ED3...; see F22</t>
        </is>
      </c>
    </row>
    <row r="7">
      <c r="A7" s="13" t="inlineStr">
        <is>
          <t>Source file 2</t>
        </is>
      </c>
      <c r="B7" s="13" t="inlineStr">
        <is>
          <t>Regional Sales Sample.pbix</t>
        </is>
      </c>
      <c r="C7" s="14" t="inlineStr">
        <is>
          <t>1,09 MB - 11 pages, 937 containers, 55 data-bound. PHASE 2 STRESS TEST</t>
        </is>
      </c>
    </row>
    <row r="8">
      <c r="A8" s="13" t="inlineStr">
        <is>
          <t>Source file 2 SHA-256</t>
        </is>
      </c>
      <c r="B8" s="13" t="inlineStr">
        <is>
          <t>ABA504345740406FE35EA83C4DC194BB408CE467F09840BAC1B82E5E8725CDAB</t>
        </is>
      </c>
      <c r="C8" s="14" t="inlineStr">
        <is>
          <t>Unchanged</t>
        </is>
      </c>
    </row>
    <row r="9">
      <c r="A9" s="13" t="inlineStr">
        <is>
          <t>Python</t>
        </is>
      </c>
      <c r="B9" s="13" t="inlineStr">
        <is>
          <t>3.13.14</t>
        </is>
      </c>
      <c r="C9" s="14" t="inlineStr">
        <is>
          <t>Standard library at runtime; pytest 9.1.1 + openpyxl in .venv</t>
        </is>
      </c>
    </row>
    <row r="10">
      <c r="A10" s="13" t="inlineStr">
        <is>
          <t>Tests</t>
        </is>
      </c>
      <c r="B10" s="13" t="inlineStr">
        <is>
          <t>141 passing</t>
        </is>
      </c>
      <c r="C10" s="14" t="inlineStr">
        <is>
          <t>python -m pytest</t>
        </is>
      </c>
    </row>
    <row r="11">
      <c r="A11" s="13" t="inlineStr">
        <is>
          <t>Launch</t>
        </is>
      </c>
      <c r="B11" s="13" t="inlineStr">
        <is>
          <t>run_app.bat -&gt; http://127.0.0.1:8765</t>
        </is>
      </c>
      <c r="C11" s="14" t="inlineStr">
        <is>
          <t>Creates .venv + installs libraries on first run</t>
        </is>
      </c>
    </row>
    <row r="12">
      <c r="A12" s="13" t="inlineStr">
        <is>
          <t>Power BI Desktop</t>
        </is>
      </c>
      <c r="B12" s="13" t="inlineStr">
        <is>
          <t>2.149.1252.0 (25.11)</t>
        </is>
      </c>
      <c r="C12" s="14" t="inlineStr">
        <is>
          <t>C:\Program Files\Microsoft Power BI Desktop - MSI install</t>
        </is>
      </c>
    </row>
    <row r="13">
      <c r="A13" s="13" t="inlineStr">
        <is>
          <t>Tableau Desktop</t>
        </is>
      </c>
      <c r="B13" s="13" t="inlineStr">
        <is>
          <t>2026.2 (26.2.1782)</t>
        </is>
      </c>
      <c r="C13" s="14" t="inlineStr">
        <is>
          <t>Both generated workbooks verified to open (load rk=ok)</t>
        </is>
      </c>
    </row>
    <row r="14">
      <c r="A14" s="13" t="inlineStr">
        <is>
          <t>Tableau reference workbook</t>
        </is>
      </c>
      <c r="B14" s="13" t="inlineStr">
        <is>
          <t>Superstore.twbx</t>
        </is>
      </c>
      <c r="C14" s="14" t="inlineStr">
        <is>
          <t>C:\Program Files\Tableau\Tableau 2026.2\help\Workbooks\en_US</t>
        </is>
      </c>
    </row>
    <row r="15">
      <c r="A15" s="13" t="inlineStr">
        <is>
          <t>AS client library</t>
        </is>
      </c>
      <c r="B15" s="13" t="inlineStr">
        <is>
          <t>Microsoft.PowerBI.AdomdClient.dll</t>
        </is>
      </c>
      <c r="C15" s="14" t="inlineStr">
        <is>
          <t>Ships in Power BI Desktop\bin; namespace Microsoft.AnalysisServices.AdomdClient</t>
        </is>
      </c>
    </row>
    <row r="16">
      <c r="A16" s="13" t="inlineStr">
        <is>
          <t>Live model port</t>
        </is>
      </c>
      <c r="B16" s="13" t="inlineStr">
        <is>
          <t>read from AnalysisServicesWorkspaces\*\Data\msmdsrv.port.txt (UTF-16LE)</t>
        </is>
      </c>
      <c r="C16" s="14" t="inlineStr">
        <is>
          <t>Changes every launch; discovered automatically by --model live</t>
        </is>
      </c>
    </row>
    <row r="17">
      <c r="A17" s="13" t="inlineStr">
        <is>
          <t>Outputs</t>
        </is>
      </c>
      <c r="B17" s="13" t="inlineStr">
        <is>
          <t>output\&lt;report&gt;\ assessment.md, summary.json, measures.json, &lt;report&gt;.twb, data\model_stub.csv</t>
        </is>
      </c>
      <c r="C17" s="14" t="inlineStr">
        <is>
          <t>Regenerate with python -m src.cli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56" customWidth="1" min="3" max="3"/>
    <col width="70" customWidth="1" min="4" max="4"/>
    <col width="52" customWidth="1" min="5" max="5"/>
  </cols>
  <sheetData>
    <row r="1">
      <c r="A1" s="11" t="inlineStr">
        <is>
          <t>Decision log  -  what we chose and why</t>
        </is>
      </c>
    </row>
    <row r="3" ht="28" customHeight="1">
      <c r="A3" s="12" t="inlineStr">
        <is>
          <t>ID</t>
        </is>
      </c>
      <c r="B3" s="12" t="inlineStr">
        <is>
          <t>Date</t>
        </is>
      </c>
      <c r="C3" s="12" t="inlineStr">
        <is>
          <t>Decision</t>
        </is>
      </c>
      <c r="D3" s="12" t="inlineStr">
        <is>
          <t>Rationale</t>
        </is>
      </c>
      <c r="E3" s="12" t="inlineStr">
        <is>
          <t>Alternative rejected</t>
        </is>
      </c>
    </row>
    <row r="4">
      <c r="A4" s="13" t="inlineStr">
        <is>
          <t>D1</t>
        </is>
      </c>
      <c r="B4" s="13" t="inlineStr">
        <is>
          <t>2026-09-12</t>
        </is>
      </c>
      <c r="C4" s="14" t="inlineStr">
        <is>
          <t>Work from .pbix only; no PBIP/TMDL export required.</t>
        </is>
      </c>
      <c r="D4" s="14" t="inlineStr">
        <is>
          <t>Report layer from Report/Layout; model layer from Desktop's live AS instance. Microsoft confirms PBIX-&gt;PBIP cannot be automated.</t>
        </is>
      </c>
      <c r="E4" s="14" t="inlineStr">
        <is>
          <t>Manual PBIP export per file</t>
        </is>
      </c>
    </row>
    <row r="5">
      <c r="A5" s="13" t="inlineStr">
        <is>
          <t>D2</t>
        </is>
      </c>
      <c r="B5" s="13" t="inlineStr">
        <is>
          <t>2026-09-12</t>
        </is>
      </c>
      <c r="C5" s="14" t="inlineStr">
        <is>
          <t>Never scrape DAX from the DataModel ABF blob.</t>
        </is>
      </c>
      <c r="D5" s="14" t="inlineStr">
        <is>
          <t>Compressed; readable runs are fragments; would emit corrupted calculations.</t>
        </is>
      </c>
      <c r="E5" s="14" t="inlineStr">
        <is>
          <t>Regex-harvesting literals</t>
        </is>
      </c>
    </row>
    <row r="6">
      <c r="A6" s="13" t="inlineStr">
        <is>
          <t>D3</t>
        </is>
      </c>
      <c r="B6" s="13" t="inlineStr">
        <is>
          <t>2026-09-12</t>
        </is>
      </c>
      <c r="C6" s="14" t="inlineStr">
        <is>
          <t>Retail Analysis first; Regional Sales as stress test.</t>
        </is>
      </c>
      <c r="D6" s="14" t="inlineStr">
        <is>
          <t>24 vs 937 containers.</t>
        </is>
      </c>
      <c r="E6" s="14" t="inlineStr">
        <is>
          <t>Starting with Regional</t>
        </is>
      </c>
    </row>
    <row r="7">
      <c r="A7" s="13" t="inlineStr">
        <is>
          <t>D4</t>
        </is>
      </c>
      <c r="B7" s="13" t="inlineStr">
        <is>
          <t>2026-09-12</t>
        </is>
      </c>
      <c r="C7" s="14" t="inlineStr">
        <is>
          <t>Analyzer before generator.</t>
        </is>
      </c>
      <c r="D7" s="14" t="inlineStr">
        <is>
          <t>Assessment is useful even for visuals we cannot emit.</t>
        </is>
      </c>
      <c r="E7" s="14" t="inlineStr">
        <is>
          <t>Generator-first</t>
        </is>
      </c>
    </row>
    <row r="8">
      <c r="A8" s="13" t="inlineStr">
        <is>
          <t>D5</t>
        </is>
      </c>
      <c r="B8" s="13" t="inlineStr">
        <is>
          <t>2026-09-12</t>
        </is>
      </c>
      <c r="C8" s="14" t="inlineStr">
        <is>
          <t>Translate only a NAMED DAX subset; refuse loudly otherwise.</t>
        </is>
      </c>
      <c r="D8" s="14" t="inlineStr">
        <is>
          <t>Half-translating produces confidently wrong output (rule 8).</t>
        </is>
      </c>
      <c r="E8" s="14" t="inlineStr">
        <is>
          <t>Best-effort translator</t>
        </is>
      </c>
    </row>
    <row r="9">
      <c r="A9" s="13" t="inlineStr">
        <is>
          <t>D6</t>
        </is>
      </c>
      <c r="B9" s="13" t="inlineStr">
        <is>
          <t>2026-09-12</t>
        </is>
      </c>
      <c r="C9" s="14" t="inlineStr">
        <is>
          <t>Validate .twb against Superstore.twb, then open in Tableau Desktop.</t>
        </is>
      </c>
      <c r="D9" s="14" t="inlineStr">
        <is>
          <t>Never invent the target format (rule 5).</t>
        </is>
      </c>
      <c r="E9" s="14" t="inlineStr">
        <is>
          <t>Writing .twb from docs alone</t>
        </is>
      </c>
    </row>
    <row r="10">
      <c r="A10" s="13" t="inlineStr">
        <is>
          <t>D7</t>
        </is>
      </c>
      <c r="B10" s="13" t="inlineStr">
        <is>
          <t>2026-09-12</t>
        </is>
      </c>
      <c r="C10" s="14" t="inlineStr">
        <is>
          <t>One flattened, header-only CSV datasource per workbook.</t>
        </is>
      </c>
      <c r="D10" s="14" t="inlineStr">
        <is>
          <t>Data is locked in the model; shelves are preserved; user swaps in a real extract.</t>
        </is>
      </c>
      <c r="E10" s="14" t="inlineStr">
        <is>
          <t>One datasource per table (needs blending), or a live extract</t>
        </is>
      </c>
    </row>
    <row r="11">
      <c r="A11" s="13" t="inlineStr">
        <is>
          <t>D8</t>
        </is>
      </c>
      <c r="B11" s="13" t="inlineStr">
        <is>
          <t>2026-09-12</t>
        </is>
      </c>
      <c r="C11" s="14" t="inlineStr">
        <is>
          <t>Pies emitted as bars and downgraded to approximate.</t>
        </is>
      </c>
      <c r="D11" s="14" t="inlineStr">
        <is>
          <t>Superstore has no pie worksheet to verify the angle encoding.</t>
        </is>
      </c>
      <c r="E11" s="14" t="inlineStr">
        <is>
          <t>Guessing a &lt;wedge-size&gt; encoding</t>
        </is>
      </c>
    </row>
    <row r="12">
      <c r="A12" s="13" t="inlineStr">
        <is>
          <t>D9</t>
        </is>
      </c>
      <c r="B12" s="13" t="inlineStr">
        <is>
          <t>2026-09-12</t>
        </is>
      </c>
      <c r="C12" s="14" t="inlineStr">
        <is>
          <t>Model extraction is opt-in (--model live / --model-dir).</t>
        </is>
      </c>
      <c r="D12" s="14" t="inlineStr">
        <is>
          <t>Needs Desktop open; the tool must degrade gracefully.</t>
        </is>
      </c>
      <c r="E12" s="14" t="inlineStr">
        <is>
          <t>Hard dependency on Desktop</t>
        </is>
      </c>
    </row>
    <row r="13">
      <c r="A13" s="13" t="inlineStr">
        <is>
          <t>D10</t>
        </is>
      </c>
      <c r="B13" s="13" t="inlineStr">
        <is>
          <t>2026-09-12</t>
        </is>
      </c>
      <c r="C13" s="14" t="inlineStr">
        <is>
          <t>Do not emit dashboard windows.</t>
        </is>
      </c>
      <c r="D13" s="14" t="inlineStr">
        <is>
          <t>Every hand-written form fails to load; Tableau recreates them (F18).</t>
        </is>
      </c>
      <c r="E13" s="14" t="inlineStr">
        <is>
          <t>Copying Superstore's window shape</t>
        </is>
      </c>
    </row>
    <row r="14">
      <c r="A14" s="13" t="inlineStr">
        <is>
          <t>D11</t>
        </is>
      </c>
      <c r="B14" s="13" t="inlineStr">
        <is>
          <t>2026-09-12</t>
        </is>
      </c>
      <c r="C14" s="14" t="inlineStr">
        <is>
          <t>Verify Tableau loading via its own log instead of the screen.</t>
        </is>
      </c>
      <c r="D14" s="14" t="inlineStr">
        <is>
          <t>Screen control was declined; log.txt carries show-detailed-error-dialog and load-workbook rk=ok.</t>
        </is>
      </c>
      <c r="E14" s="14" t="inlineStr">
        <is>
          <t>Asking the user to open each variant by hand</t>
        </is>
      </c>
    </row>
    <row r="15">
      <c r="A15" s="13" t="inlineStr">
        <is>
          <t>D12</t>
        </is>
      </c>
      <c r="B15" s="13" t="inlineStr">
        <is>
          <t>2026-09-15</t>
        </is>
      </c>
      <c r="C15" s="14" t="inlineStr">
        <is>
          <t>Web app is a thin layer over one shared pipeline function.</t>
        </is>
      </c>
      <c r="D15" s="14" t="inlineStr">
        <is>
          <t>CLI and UI call src.pipeline.run_pipeline; the server only validates paths and maps errors to HTTP codes, so they cannot disagree.</t>
        </is>
      </c>
      <c r="E15" s="14" t="inlineStr">
        <is>
          <t>Duplicating orchestration in the server</t>
        </is>
      </c>
    </row>
    <row r="16">
      <c r="A16" s="13" t="inlineStr">
        <is>
          <t>D13</t>
        </is>
      </c>
      <c r="B16" s="13" t="inlineStr">
        <is>
          <t>2026-09-15</t>
        </is>
      </c>
      <c r="C16" s="14" t="inlineStr">
        <is>
          <t>run_app.bat creates .venv and installs libraries automatically, keyed on a hash of requirements.txt.</t>
        </is>
      </c>
      <c r="D16" s="14" t="inlineStr">
        <is>
          <t>Collaborators have Python only; second launches must be instant.</t>
        </is>
      </c>
      <c r="E16" s="14" t="inlineStr">
        <is>
          <t>Asking users to pip install by hand</t>
        </is>
      </c>
    </row>
    <row r="17">
      <c r="A17" s="13" t="inlineStr">
        <is>
          <t>D14</t>
        </is>
      </c>
      <c r="B17" s="13" t="inlineStr">
        <is>
          <t>2026-09-15</t>
        </is>
      </c>
      <c r="C17" s="14" t="inlineStr">
        <is>
          <t>Vanilla HTML/CSS/JS front-end, no build step.</t>
        </is>
      </c>
      <c r="D17" s="14" t="inlineStr">
        <is>
          <t>Nothing to install beyond Python; the .bat stays simple; the UI ships inside the repo.</t>
        </is>
      </c>
      <c r="E17" s="14" t="inlineStr">
        <is>
          <t>React/Vite toolchain</t>
        </is>
      </c>
    </row>
    <row r="18">
      <c r="A18" s="13" t="inlineStr">
        <is>
          <t>D15</t>
        </is>
      </c>
      <c r="B18" s="13" t="inlineStr">
        <is>
          <t>2026-09-15</t>
        </is>
      </c>
      <c r="C18" s="14" t="inlineStr">
        <is>
          <t>Data snapshots are per visual: each visual's own SUMMARIZECOLUMNS, one datasource each.</t>
        </is>
      </c>
      <c r="D18" s="14" t="inlineStr">
        <is>
          <t>Exact numbers including non-additive measures, no join logic, no translation risk; visuals without a snapshot keep the stub.</t>
        </is>
      </c>
      <c r="E18" s="14" t="inlineStr">
        <is>
          <t>One flattened fact table (wrong totals for ratios/averages)</t>
        </is>
      </c>
    </row>
    <row r="19">
      <c r="A19" s="13" t="inlineStr">
        <is>
          <t>D16</t>
        </is>
      </c>
      <c r="B19" s="13" t="inlineStr">
        <is>
          <t>2026-09-15</t>
        </is>
      </c>
      <c r="C19" s="14" t="inlineStr">
        <is>
          <t>Snapshots apply Power BI's filters by default; 'visual' and 'none' are explicit options.</t>
        </is>
      </c>
      <c r="D19" s="14" t="inlineStr">
        <is>
          <t>Faithfulness first: a visual that is empty in Power BI stays empty and is explained; demos can opt out.</t>
        </is>
      </c>
      <c r="E19" s="14" t="inlineStr">
        <is>
          <t>Silently dropping filters to make charts look full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58" customWidth="1" min="3" max="3"/>
    <col width="30" customWidth="1" min="4" max="4"/>
    <col width="70" customWidth="1" min="5" max="5"/>
    <col width="20" customWidth="1" min="6" max="6"/>
  </cols>
  <sheetData>
    <row r="1">
      <c r="A1" s="11" t="inlineStr">
        <is>
          <t>Risks and open questions</t>
        </is>
      </c>
    </row>
    <row r="3" ht="28" customHeight="1">
      <c r="A3" s="12" t="inlineStr">
        <is>
          <t>ID</t>
        </is>
      </c>
      <c r="B3" s="12" t="inlineStr">
        <is>
          <t>Type</t>
        </is>
      </c>
      <c r="C3" s="12" t="inlineStr">
        <is>
          <t>Item</t>
        </is>
      </c>
      <c r="D3" s="12" t="inlineStr">
        <is>
          <t>Impact</t>
        </is>
      </c>
      <c r="E3" s="12" t="inlineStr">
        <is>
          <t>Mitigation / outcome</t>
        </is>
      </c>
      <c r="F3" s="12" t="inlineStr">
        <is>
          <t>Status</t>
        </is>
      </c>
    </row>
    <row r="4">
      <c r="A4" s="13" t="inlineStr">
        <is>
          <t>R1</t>
        </is>
      </c>
      <c r="B4" s="13" t="inlineStr">
        <is>
          <t>Resolved</t>
        </is>
      </c>
      <c r="C4" s="14" t="inlineStr">
        <is>
          <t>Live model extraction in scope?</t>
        </is>
      </c>
      <c r="D4" s="14" t="inlineStr">
        <is>
          <t>-</t>
        </is>
      </c>
      <c r="E4" s="14" t="inlineStr">
        <is>
          <t>Implemented opt-in (D9); tested on captured fixtures; live path needs Desktop open.</t>
        </is>
      </c>
      <c r="F4" s="13" t="inlineStr">
        <is>
          <t>Resolved</t>
        </is>
      </c>
    </row>
    <row r="5">
      <c r="A5" s="13" t="inlineStr">
        <is>
          <t>R2</t>
        </is>
      </c>
      <c r="B5" s="13" t="inlineStr">
        <is>
          <t>Resolved</t>
        </is>
      </c>
      <c r="C5" s="14" t="inlineStr">
        <is>
          <t>Filter structures uncharacterised.</t>
        </is>
      </c>
      <c r="D5" s="14" t="inlineStr">
        <is>
          <t>-</t>
        </is>
      </c>
      <c r="E5" s="14" t="inlineStr">
        <is>
          <t>Characterised (F9) and parsed into the IR; listed in the assessment.</t>
        </is>
      </c>
      <c r="F5" s="13" t="inlineStr">
        <is>
          <t>Resolved</t>
        </is>
      </c>
    </row>
    <row r="6">
      <c r="A6" s="13" t="inlineStr">
        <is>
          <t>R3</t>
        </is>
      </c>
      <c r="B6" s="13" t="inlineStr">
        <is>
          <t>Resolved</t>
        </is>
      </c>
      <c r="C6" s="14" t="inlineStr">
        <is>
          <t>.twb generation harder than estimated.</t>
        </is>
      </c>
      <c r="D6" s="14" t="inlineStr">
        <is>
          <t>It was: ~60 bisect runs.</t>
        </is>
      </c>
      <c r="E6" s="14" t="inlineStr">
        <is>
          <t>All loader requirements found and encoded in the generator + tests (F16-F18).</t>
        </is>
      </c>
      <c r="F6" s="13" t="inlineStr">
        <is>
          <t>Resolved</t>
        </is>
      </c>
    </row>
    <row r="7">
      <c r="A7" s="13" t="inlineStr">
        <is>
          <t>R4</t>
        </is>
      </c>
      <c r="B7" s="13" t="inlineStr">
        <is>
          <t>Risk</t>
        </is>
      </c>
      <c r="C7" s="14" t="inlineStr">
        <is>
          <t>Report/Layout (PBIR-Legacy) is on a deprecation path.</t>
        </is>
      </c>
      <c r="D7" s="14" t="inlineStr">
        <is>
          <t>High later</t>
        </is>
      </c>
      <c r="E7" s="14" t="inlineStr">
        <is>
          <t>Parser interface allows a PBIR reader; not yet written.</t>
        </is>
      </c>
      <c r="F7" s="13" t="inlineStr">
        <is>
          <t>Open - future work</t>
        </is>
      </c>
    </row>
    <row r="8">
      <c r="A8" s="13" t="inlineStr">
        <is>
          <t>R5</t>
        </is>
      </c>
      <c r="B8" s="13" t="inlineStr">
        <is>
          <t>Accepted</t>
        </is>
      </c>
      <c r="C8" s="14" t="inlineStr">
        <is>
          <t>No Tableau equivalent for keyDrivers / decompositionTree / Q&amp;A / custom visuals.</t>
        </is>
      </c>
      <c r="D8" s="14" t="inlineStr">
        <is>
          <t>Low</t>
        </is>
      </c>
      <c r="E8" s="14" t="inlineStr">
        <is>
          <t>Reported as unsupported with reasons; never dropped silently.</t>
        </is>
      </c>
      <c r="F8" s="13" t="inlineStr">
        <is>
          <t>Accepted</t>
        </is>
      </c>
    </row>
    <row r="9">
      <c r="A9" s="13" t="inlineStr">
        <is>
          <t>R6</t>
        </is>
      </c>
      <c r="B9" s="13" t="inlineStr">
        <is>
          <t>Resolved</t>
        </is>
      </c>
      <c r="C9" s="14" t="inlineStr">
        <is>
          <t>What 'working .twb' means with data locked in the model.</t>
        </is>
      </c>
      <c r="D9" s="14" t="inlineStr">
        <is>
          <t>-</t>
        </is>
      </c>
      <c r="E9" s="14" t="inlineStr">
        <is>
          <t>D7: header-only CSV stub with full field metadata; opens in Tableau.</t>
        </is>
      </c>
      <c r="F9" s="13" t="inlineStr">
        <is>
          <t>Resolved</t>
        </is>
      </c>
    </row>
    <row r="10">
      <c r="A10" s="13" t="inlineStr">
        <is>
          <t>R7</t>
        </is>
      </c>
      <c r="B10" s="13" t="inlineStr">
        <is>
          <t>Risk</t>
        </is>
      </c>
      <c r="C10" s="14" t="inlineStr">
        <is>
          <t>Filters are in the IR but not yet emitted as Tableau filters.</t>
        </is>
      </c>
      <c r="D10" s="14" t="inlineStr">
        <is>
          <t>Medium</t>
        </is>
      </c>
      <c r="E10" s="14" t="inlineStr">
        <is>
          <t>Next increment: map Condition trees to &lt;filter class=categorical|quantitative&gt;.</t>
        </is>
      </c>
      <c r="F10" s="13" t="inlineStr">
        <is>
          <t>Open - future work</t>
        </is>
      </c>
    </row>
    <row r="11">
      <c r="A11" s="13" t="inlineStr">
        <is>
          <t>R8</t>
        </is>
      </c>
      <c r="B11" s="13" t="inlineStr">
        <is>
          <t>Risk</t>
        </is>
      </c>
      <c r="C11" s="14" t="inlineStr">
        <is>
          <t>Only 4 of 15 Regional measures translate.</t>
        </is>
      </c>
      <c r="D11" s="14" t="inlineStr">
        <is>
          <t>Medium</t>
        </is>
      </c>
      <c r="E11" s="14" t="inlineStr">
        <is>
          <t>By design (D5). Extending the subset needs CALCULATE semantics -&gt; LOD expressions.</t>
        </is>
      </c>
      <c r="F11" s="13" t="inlineStr">
        <is>
          <t>Open - future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2026-09-15T18:03:44Z</dcterms:created>
  <dcterms:modified xsi:type="dcterms:W3CDTF">2026-09-15T18:03:44Z</dcterms:modified>
</cp:coreProperties>
</file>